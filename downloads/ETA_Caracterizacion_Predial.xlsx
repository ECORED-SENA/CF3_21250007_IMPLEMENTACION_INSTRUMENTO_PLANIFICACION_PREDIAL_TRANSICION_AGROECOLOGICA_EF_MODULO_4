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olors1.xml" ContentType="application/vnd.ms-office.chartcolorstyle+xml"/>
  <Override PartName="/xl/charts/chart1.xml" ContentType="application/vnd.openxmlformats-officedocument.drawingml.chart+xml"/>
  <Override PartName="/xl/charts/style1.xml" ContentType="application/vnd.ms-office.chartstyle+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coje\Desktop\TRABAJO\AGRONOMOS Y VETERINARIOS SIN FRONTERAS\DESARROLLO DE PROYECTO\CONVENIOS Y PROPUESTAS ORGANIZACIONES\"/>
    </mc:Choice>
  </mc:AlternateContent>
  <bookViews>
    <workbookView xWindow="0" yWindow="0" windowWidth="28800" windowHeight="11700"/>
  </bookViews>
  <sheets>
    <sheet name="ESTADO DE TRANSICIÓN PREDIAL" sheetId="1" r:id="rId1"/>
    <sheet name="GRÁFICO RADIAL"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2" l="1"/>
  <c r="F10" i="1" l="1"/>
  <c r="E10" i="1"/>
  <c r="C10" i="1"/>
  <c r="B23" i="2" l="1"/>
  <c r="B22" i="2"/>
  <c r="B21" i="2"/>
  <c r="B20" i="2"/>
  <c r="B19" i="2"/>
  <c r="B18" i="2"/>
  <c r="B17" i="2"/>
  <c r="B13" i="2"/>
  <c r="B12" i="2"/>
  <c r="B11" i="2"/>
  <c r="B10" i="2"/>
  <c r="B9" i="2"/>
  <c r="B8" i="2"/>
  <c r="B7" i="2"/>
  <c r="B6" i="2"/>
  <c r="B5" i="2"/>
  <c r="B3" i="2"/>
  <c r="E18" i="1" l="1"/>
  <c r="C18" i="1"/>
  <c r="E4" i="1"/>
  <c r="C4" i="1"/>
  <c r="F4" i="1" l="1"/>
  <c r="B25" i="1" s="1"/>
  <c r="F18" i="1"/>
</calcChain>
</file>

<file path=xl/sharedStrings.xml><?xml version="1.0" encoding="utf-8"?>
<sst xmlns="http://schemas.openxmlformats.org/spreadsheetml/2006/main" count="77" uniqueCount="77">
  <si>
    <t>Indicadores Propuestos</t>
  </si>
  <si>
    <t>Puntaje máximo</t>
  </si>
  <si>
    <t>Σ  puntaje
máximo</t>
  </si>
  <si>
    <t>Calificación 
del indicador</t>
  </si>
  <si>
    <t xml:space="preserve"> Dimensión a evaluar</t>
  </si>
  <si>
    <t>PROTECCIÓN DE FUENTES DE AGUA</t>
  </si>
  <si>
    <t>AMBIENTAL</t>
  </si>
  <si>
    <t>MANEJO DEL AGUA PARA EL CONSUMO HUMANO</t>
  </si>
  <si>
    <t>AHORRO DE AGUA en el hogar y los sistemas productivos</t>
  </si>
  <si>
    <t>PROTECCIÓN DEL BOSQUE EN LA FINCA</t>
  </si>
  <si>
    <t xml:space="preserve">CONECTIVIDAD ENTRE EL PAISAJE Y EL AGROECOSISTEMA </t>
  </si>
  <si>
    <t xml:space="preserve">MANEJO DE RESIDUOS SÓLIDOS </t>
  </si>
  <si>
    <t>GENERACIÓN DE INGRESOS E INDICE DE AUTOEMPLEO</t>
  </si>
  <si>
    <t>SOCIOECONÓMICA</t>
  </si>
  <si>
    <t xml:space="preserve">ORGANIZACIÓN PARA LA COMERCIALIZACIÓN  DE LOS PRODUCTOS </t>
  </si>
  <si>
    <t>AUTOSUFICIENCIA ALIMENTARIA FAMILIAR</t>
  </si>
  <si>
    <t>PARTICIPACIÓN DE LA FAMILIA EN PROCESOS COMUNITARIOS.</t>
  </si>
  <si>
    <t>GESTIÓN DEL CONOCIMIENTO AGROECOLÓGICO</t>
  </si>
  <si>
    <t>DIVERSIDAD DE CULTIVOS</t>
  </si>
  <si>
    <t>PRODUCTIVA</t>
  </si>
  <si>
    <t>DIVERSIDAD DE ANIMALES (incluyendo peces)</t>
  </si>
  <si>
    <t>INTEGRACIÓN ENTRE ANIMALES  Y CULTIVOS</t>
  </si>
  <si>
    <t xml:space="preserve">MANEJO DEL  SUELO  </t>
  </si>
  <si>
    <t>BIENESTAR ANIMAL (si aplica) a nivel de Finca</t>
  </si>
  <si>
    <t>PRODUCIR Y CUSTODIAR SEMILLAS EN LA FINCA</t>
  </si>
  <si>
    <t>%</t>
  </si>
  <si>
    <t>Descripción</t>
  </si>
  <si>
    <t xml:space="preserve">85-100 </t>
  </si>
  <si>
    <t>Avanzado</t>
  </si>
  <si>
    <t xml:space="preserve">Cambio de ética y de valores, una transición hacia una cultura de sostenibilidad.
</t>
  </si>
  <si>
    <t>60-84</t>
  </si>
  <si>
    <t xml:space="preserve"> Rediseño del agroecosistema de forma tal que funcione sobre las bases de un nuevo conjunto 
de procesos ecológicos</t>
  </si>
  <si>
    <t>40-60</t>
  </si>
  <si>
    <t>Sustituir prácticas e insumos convencionales por prácticas alternativas 
sostenibles</t>
  </si>
  <si>
    <t>&lt;40</t>
  </si>
  <si>
    <t>Inicial</t>
  </si>
  <si>
    <t xml:space="preserve">Incrementar la eficiencia de prácticas convencionales para reducir el consumo de insumos costosos, escasos o ambientalemente nocivos </t>
  </si>
  <si>
    <t>En este nivel inicial de transición se busca reducir el uso de insumos costosos y dañinos. En el inicio del proceso de transición, especialmente cuando el punto de partida se realiza desde una finca con un sistema de producción convencional y donde la mayor parte de las prácticas agroecológicas han sido desechadas, donde la familia no tiene una convicción muy fuerte de la realización de la transición, habrá que diseñar acciones exitosas propias de este nivel, para ir generando un espacio de conversación y de análisis de los resultados que paso a paso fortalezcan su decisión de cambio.</t>
  </si>
  <si>
    <t>HOJA DE CALCULO NIVEL DE TRANSICIÓN AGROECOLÓGICA PREDIAL</t>
  </si>
  <si>
    <t>El objetivo en este nivel de conversión es reemplazar los recursos intensivos y productos y prácticas degradantes del agroecosistema con aquellos que son más adecuados. La reciente expansión en investigación en agricultura agroecológica ha ampliado las posibilidades de acción dentro de este nivel.</t>
  </si>
  <si>
    <t>Medianamente bajo</t>
  </si>
  <si>
    <t xml:space="preserve">Medianamente alto </t>
  </si>
  <si>
    <t xml:space="preserve">Rediseñar implica la gradual recuperación de los componentes claves del agroecosistema (suelo, agua) y pensar en una distribución espacial y temporal de los mismos que potencie las interrelaciones y sus sinergias positivas. 
En este nivel, el diseño del sistema general mitiga o elimina las causas de muchos de los problemas que todavía persisten en los niveles 1 y 2. El sentido de esta etapa es buscar formas más definitivas para evitar el surgimiento de problemas y controlar los que en esta etapa puedan ir apareciendo. El objetivo central de esta etapa es conseguir que los desafíos y/o problemas más habituales de los sistemas agrícolas vean moderado su impacto por un diseño complejo del espacio y por un sistema de gestión que disminuye al máximo la aplicación de insumos externos excluyendo definitivamente el uso de productos agroquímicos de síntesis. 
</t>
  </si>
  <si>
    <t xml:space="preserve">A nivel local, esto significa que los consumidores valoran la producción agroecológica de alimentos, eligiéndolos y comprándolos, apoyan a los agricultores que están esforzándose por pasar del nivel de conversión 1 a los niveles 2 y 3. En cierto sentido, esto significa el desarrollo de una especie de “ciudadanía alimentaria”, donde todos forman parte del sistema y pueden influir en el cambio y ser influenciados por él. Cuanto más nos movemos a este nivel de integración y acción para el cambio en los sistemas alimentarios en las comunidades de todo el mundo, más nos acercamos en avanzar hacia la construcción de una nueva cultura y economía de sostenibilidad y hacia una comprensión de la agroecología como un fenómeno territorial, donde numerosos actores están relacionados en la profundización de esta alternativa.
</t>
  </si>
  <si>
    <t>INSTRUMENTO DE PLANIFICACIÓN PREDIAL PARA LA TRANSICIÓN AGROECOLÓGICA -IPPTA-</t>
  </si>
  <si>
    <t>NOMBRE DE LA FINCA:</t>
  </si>
  <si>
    <t>NOMBRE DEL PRODUCTOR:</t>
  </si>
  <si>
    <t>Σ  calificación del indicador</t>
  </si>
  <si>
    <t>Nivel de Transición Agroecológica</t>
  </si>
  <si>
    <t>PARTICIPACIÓN EQUITATIVA EN LA TOMA DE DECISIONES AGROECOLÓGICAS DE LA FINCA</t>
  </si>
  <si>
    <t>TRABAJO Y USO DEL TIEMPO EN LA AGRICULTURA FAMILIAR</t>
  </si>
  <si>
    <t>CONTROL Y DECISIÓN SOBRE EL TIEMPO</t>
  </si>
  <si>
    <t>PRODUCCIÓN DE INSUMOS, BIOUNSUMOS Y BIOPREPARADOS EN LA FINCA</t>
  </si>
  <si>
    <t>1.PROTECCIÓN DE FUENTES DE AGUA</t>
  </si>
  <si>
    <t>2.MANEJO DEL AGUA PARA EL CONSUMO HUMANO</t>
  </si>
  <si>
    <t>3.AHORRO DE AGUA en el hogar y los sistemas productivos</t>
  </si>
  <si>
    <t>4.PROTECCIÓN DEL BOSQUE EN LA FINCA</t>
  </si>
  <si>
    <t xml:space="preserve">5.CONECTIVIDAD ENTRE EL PAISAJE Y EL AGROECOSISTEMA </t>
  </si>
  <si>
    <t xml:space="preserve">6.MANEJO DE RESIDUOS SÓLIDOS </t>
  </si>
  <si>
    <t>7.GENERACIÓN DE INGRESOS E INDICE DE AUTOEMPLEO</t>
  </si>
  <si>
    <t xml:space="preserve">8.ORGANIZACIÓN PARA LA COMERCIALIZACIÓN  DE LOS PRODUCTOS </t>
  </si>
  <si>
    <t>9.AUTOSUFICIENCIA ALIMENTARIA FAMILIAR</t>
  </si>
  <si>
    <t>10.PARTICIPACIÓN DE LA FAMILIA EN PROCESOS COMUNITARIOS.</t>
  </si>
  <si>
    <t>11.GESTIÓN DEL CONOCIMIENTO AGROECOLÓGICO</t>
  </si>
  <si>
    <t xml:space="preserve">12.PARTICIPACIÓN EQUITATIVA EN LA TOMA DE DECISIONES </t>
  </si>
  <si>
    <t xml:space="preserve">13.TRABAJO Y USO DEL TIEMPO </t>
  </si>
  <si>
    <t>14.CONTROL Y DECISIÓN SOBRE EL TIEMPO</t>
  </si>
  <si>
    <t>15.DIVERSIDAD DE CULTIVOS</t>
  </si>
  <si>
    <t>16.DIVERSIDAD DE ANIMALES (incluyendo peces)</t>
  </si>
  <si>
    <t>17.INTEGRACIÓN ENTRE ANIMALES  Y CULTIVOS</t>
  </si>
  <si>
    <t xml:space="preserve">18.MANEJO DEL  SUELO  </t>
  </si>
  <si>
    <t>19.BIENESTAR ANIMAL (si aplica) a nivel de Finca</t>
  </si>
  <si>
    <t>20.PRODUCCIÓN DE INSUMOS EN LA FINCA</t>
  </si>
  <si>
    <t>21.PRODUCIR Y CUSTODIAR SEMILLAS EN LA FINCA</t>
  </si>
  <si>
    <t>ESCALA DE VALOR PARA EL ESTADO DE TRANSICIÓN AGROECOLÓGICA DEL PREDIO</t>
  </si>
  <si>
    <t>Estado de Transición</t>
  </si>
  <si>
    <t>ESTADO  DE TRANSICIÓN AGROECOLÓGICA (ETA) DE LA FINCA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</si>
</sst>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b/>
      <sz val="14"/>
      <name val="Calibri"/>
      <family val="2"/>
      <scheme val="minor"/>
    </font>
    <font>
      <b/>
      <sz val="12"/>
      <name val="Calibri"/>
      <family val="2"/>
      <scheme val="minor"/>
    </font>
    <font>
      <b/>
      <sz val="12"/>
      <name val="Arial"/>
      <family val="2"/>
    </font>
    <font>
      <b/>
      <sz val="12"/>
      <color rgb="FF2F5496"/>
      <name val="Arial"/>
      <family val="2"/>
    </font>
    <font>
      <b/>
      <sz val="18"/>
      <color theme="1"/>
      <name val="Calibri"/>
      <family val="2"/>
      <scheme val="minor"/>
    </font>
    <font>
      <b/>
      <sz val="20"/>
      <color theme="1"/>
      <name val="Calibri"/>
      <family val="2"/>
      <scheme val="minor"/>
    </font>
    <font>
      <b/>
      <sz val="18"/>
      <name val="Arial"/>
      <family val="2"/>
    </font>
    <font>
      <b/>
      <sz val="12"/>
      <color theme="5" tint="-0.249977111117893"/>
      <name val="Arial"/>
      <family val="2"/>
    </font>
    <font>
      <b/>
      <sz val="12"/>
      <color theme="5" tint="-0.249977111117893"/>
      <name val="Calibri"/>
      <family val="2"/>
      <scheme val="minor"/>
    </font>
    <font>
      <b/>
      <sz val="11"/>
      <color theme="1"/>
      <name val="Calibri"/>
      <family val="2"/>
      <scheme val="minor"/>
    </font>
    <font>
      <b/>
      <sz val="8"/>
      <name val="Arial"/>
      <family val="2"/>
    </font>
    <font>
      <b/>
      <sz val="36"/>
      <color theme="1"/>
      <name val="Calibri"/>
      <family val="2"/>
      <scheme val="minor"/>
    </font>
  </fonts>
  <fills count="12">
    <fill>
      <patternFill patternType="none"/>
    </fill>
    <fill>
      <patternFill patternType="gray125"/>
    </fill>
    <fill>
      <patternFill patternType="solid">
        <fgColor theme="9"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FF0000"/>
        <bgColor indexed="64"/>
      </patternFill>
    </fill>
    <fill>
      <patternFill patternType="solid">
        <fgColor rgb="FFFFFF00"/>
        <bgColor indexed="64"/>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style="medium">
        <color auto="1"/>
      </top>
      <bottom/>
      <diagonal/>
    </border>
    <border>
      <left style="medium">
        <color indexed="64"/>
      </left>
      <right style="medium">
        <color indexed="64"/>
      </right>
      <top/>
      <bottom/>
      <diagonal/>
    </border>
    <border>
      <left style="medium">
        <color indexed="64"/>
      </left>
      <right style="medium">
        <color indexed="64"/>
      </right>
      <top style="thin">
        <color auto="1"/>
      </top>
      <bottom/>
      <diagonal/>
    </border>
    <border>
      <left style="medium">
        <color indexed="64"/>
      </left>
      <right style="medium">
        <color indexed="64"/>
      </right>
      <top/>
      <bottom style="thin">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thin">
        <color auto="1"/>
      </left>
      <right style="medium">
        <color indexed="64"/>
      </right>
      <top/>
      <bottom style="medium">
        <color indexed="64"/>
      </bottom>
      <diagonal/>
    </border>
  </borders>
  <cellStyleXfs count="1">
    <xf numFmtId="0" fontId="0" fillId="0" borderId="0"/>
  </cellStyleXfs>
  <cellXfs count="95">
    <xf numFmtId="0" fontId="0" fillId="0" borderId="0" xfId="0"/>
    <xf numFmtId="0" fontId="2" fillId="0" borderId="0" xfId="0" applyFont="1"/>
    <xf numFmtId="0" fontId="2" fillId="0" borderId="0" xfId="0" applyFont="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6" fillId="0" borderId="0" xfId="0" applyFont="1" applyFill="1" applyBorder="1" applyAlignment="1">
      <alignment horizontal="center" vertical="center" wrapText="1"/>
    </xf>
    <xf numFmtId="0" fontId="2" fillId="0" borderId="0" xfId="0" applyFont="1" applyAlignment="1">
      <alignment vertical="center" wrapText="1"/>
    </xf>
    <xf numFmtId="0" fontId="9" fillId="0" borderId="11" xfId="0" applyFont="1" applyBorder="1" applyAlignment="1">
      <alignment horizontal="center" vertical="center" wrapText="1"/>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wrapText="1"/>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wrapText="1"/>
    </xf>
    <xf numFmtId="0" fontId="8" fillId="8" borderId="11" xfId="0" applyFont="1" applyFill="1" applyBorder="1" applyAlignment="1">
      <alignment horizontal="center" vertical="center"/>
    </xf>
    <xf numFmtId="0" fontId="8" fillId="8" borderId="12" xfId="0" applyFont="1" applyFill="1" applyBorder="1" applyAlignment="1">
      <alignment horizontal="center" vertical="center" wrapText="1"/>
    </xf>
    <xf numFmtId="0" fontId="8" fillId="9" borderId="11" xfId="0" applyFont="1" applyFill="1" applyBorder="1" applyAlignment="1">
      <alignment horizontal="center" vertical="center"/>
    </xf>
    <xf numFmtId="0" fontId="8" fillId="9" borderId="12"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4" fillId="7" borderId="11"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18" xfId="0" applyFont="1" applyFill="1" applyBorder="1" applyAlignment="1">
      <alignment horizontal="center" vertical="center"/>
    </xf>
    <xf numFmtId="0" fontId="3" fillId="11" borderId="12" xfId="0" applyFont="1" applyFill="1" applyBorder="1" applyAlignment="1">
      <alignment horizontal="center" vertical="center" wrapText="1"/>
    </xf>
    <xf numFmtId="0" fontId="3" fillId="11" borderId="18" xfId="0" applyFont="1" applyFill="1" applyBorder="1" applyAlignment="1">
      <alignment horizontal="center" vertical="center"/>
    </xf>
    <xf numFmtId="0" fontId="3" fillId="11" borderId="19" xfId="0" applyFont="1" applyFill="1" applyBorder="1" applyAlignment="1">
      <alignment horizontal="center" vertical="center"/>
    </xf>
    <xf numFmtId="0" fontId="3" fillId="11" borderId="20" xfId="0" applyFont="1" applyFill="1" applyBorder="1" applyAlignment="1">
      <alignment horizontal="center" vertical="center"/>
    </xf>
    <xf numFmtId="0" fontId="2" fillId="11" borderId="0" xfId="0" applyFont="1" applyFill="1"/>
    <xf numFmtId="0" fontId="2" fillId="11" borderId="12" xfId="0" applyFont="1" applyFill="1" applyBorder="1" applyAlignment="1">
      <alignment horizontal="center" vertical="center" wrapText="1"/>
    </xf>
    <xf numFmtId="0" fontId="2" fillId="11" borderId="12" xfId="0" applyFont="1" applyFill="1" applyBorder="1" applyAlignment="1">
      <alignment horizontal="center" wrapText="1"/>
    </xf>
    <xf numFmtId="0" fontId="0" fillId="11" borderId="0" xfId="0" applyFill="1"/>
    <xf numFmtId="0" fontId="6" fillId="2" borderId="23" xfId="0" applyFont="1" applyFill="1" applyBorder="1" applyAlignment="1">
      <alignment horizontal="center" vertical="center" wrapText="1"/>
    </xf>
    <xf numFmtId="0" fontId="7" fillId="0" borderId="23" xfId="0" applyFont="1" applyBorder="1" applyAlignment="1">
      <alignment horizontal="center" vertical="center"/>
    </xf>
    <xf numFmtId="0" fontId="3" fillId="11" borderId="23" xfId="0" applyFont="1" applyFill="1" applyBorder="1" applyAlignment="1">
      <alignment horizontal="center" vertical="center"/>
    </xf>
    <xf numFmtId="0" fontId="6" fillId="2" borderId="24" xfId="0" applyFont="1" applyFill="1" applyBorder="1" applyAlignment="1">
      <alignment horizontal="center" vertical="center" wrapText="1"/>
    </xf>
    <xf numFmtId="0" fontId="7" fillId="0" borderId="24" xfId="0" applyFont="1" applyBorder="1" applyAlignment="1">
      <alignment horizontal="center" vertical="center"/>
    </xf>
    <xf numFmtId="0" fontId="5" fillId="11" borderId="24" xfId="0" applyFont="1" applyFill="1" applyBorder="1" applyAlignment="1">
      <alignment horizontal="center" vertical="center"/>
    </xf>
    <xf numFmtId="0" fontId="3" fillId="11" borderId="4" xfId="0" applyFont="1" applyFill="1" applyBorder="1" applyAlignment="1">
      <alignment horizontal="center" vertical="center"/>
    </xf>
    <xf numFmtId="0" fontId="6" fillId="3" borderId="1" xfId="0" applyFont="1" applyFill="1" applyBorder="1" applyAlignment="1">
      <alignment horizontal="center" vertical="center" wrapText="1"/>
    </xf>
    <xf numFmtId="0" fontId="3" fillId="11" borderId="2" xfId="0" applyFont="1" applyFill="1" applyBorder="1" applyAlignment="1">
      <alignment horizontal="center" vertical="center"/>
    </xf>
    <xf numFmtId="0" fontId="6"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3" fillId="11" borderId="6" xfId="0" applyFont="1" applyFill="1" applyBorder="1" applyAlignment="1">
      <alignment horizontal="center" vertical="center"/>
    </xf>
    <xf numFmtId="0" fontId="2" fillId="9" borderId="12" xfId="0" applyFont="1" applyFill="1" applyBorder="1" applyAlignment="1">
      <alignment horizontal="left" vertical="center" wrapText="1"/>
    </xf>
    <xf numFmtId="0" fontId="2" fillId="9" borderId="12" xfId="0" applyFont="1" applyFill="1" applyBorder="1" applyAlignment="1">
      <alignment horizontal="left" vertical="center"/>
    </xf>
    <xf numFmtId="0" fontId="2" fillId="9" borderId="13" xfId="0" applyFont="1" applyFill="1" applyBorder="1" applyAlignment="1">
      <alignment horizontal="left"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6" borderId="12" xfId="0" applyFont="1" applyFill="1" applyBorder="1" applyAlignment="1">
      <alignment horizontal="left" vertical="center" wrapText="1"/>
    </xf>
    <xf numFmtId="0" fontId="2" fillId="6" borderId="13" xfId="0" applyFont="1" applyFill="1" applyBorder="1" applyAlignment="1">
      <alignment horizontal="left" vertical="center" wrapText="1"/>
    </xf>
    <xf numFmtId="0" fontId="2" fillId="5" borderId="14" xfId="0" applyFont="1" applyFill="1" applyBorder="1" applyAlignment="1">
      <alignment horizontal="center" wrapText="1"/>
    </xf>
    <xf numFmtId="0" fontId="2" fillId="5" borderId="9" xfId="0" applyFont="1" applyFill="1" applyBorder="1" applyAlignment="1">
      <alignment horizontal="center" wrapText="1"/>
    </xf>
    <xf numFmtId="0" fontId="2" fillId="5" borderId="10" xfId="0" applyFont="1" applyFill="1" applyBorder="1" applyAlignment="1">
      <alignment horizontal="center" wrapText="1"/>
    </xf>
    <xf numFmtId="0" fontId="2" fillId="8" borderId="14" xfId="0" applyFont="1" applyFill="1" applyBorder="1" applyAlignment="1">
      <alignment horizontal="center" wrapText="1"/>
    </xf>
    <xf numFmtId="0" fontId="2" fillId="8" borderId="9" xfId="0" applyFont="1" applyFill="1" applyBorder="1" applyAlignment="1">
      <alignment horizontal="center"/>
    </xf>
    <xf numFmtId="0" fontId="2" fillId="8" borderId="10" xfId="0" applyFont="1" applyFill="1" applyBorder="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1" fontId="15" fillId="10" borderId="8" xfId="0" applyNumberFormat="1" applyFont="1" applyFill="1" applyBorder="1" applyAlignment="1">
      <alignment horizontal="center" vertical="center"/>
    </xf>
    <xf numFmtId="1" fontId="15" fillId="10" borderId="9" xfId="0" applyNumberFormat="1" applyFont="1" applyFill="1" applyBorder="1" applyAlignment="1">
      <alignment horizontal="center" vertical="center"/>
    </xf>
    <xf numFmtId="1" fontId="15" fillId="10" borderId="10" xfId="0" applyNumberFormat="1" applyFont="1" applyFill="1" applyBorder="1" applyAlignment="1">
      <alignment horizontal="center" vertical="center"/>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1" fillId="0" borderId="21" xfId="0" applyFont="1" applyBorder="1" applyAlignment="1">
      <alignment horizontal="center" vertical="center"/>
    </xf>
    <xf numFmtId="0" fontId="11" fillId="0" borderId="0" xfId="0" applyFont="1" applyBorder="1" applyAlignment="1">
      <alignment horizontal="center" vertical="center"/>
    </xf>
    <xf numFmtId="0" fontId="11" fillId="0" borderId="15" xfId="0" applyFont="1" applyBorder="1" applyAlignment="1">
      <alignment horizontal="center" vertical="center"/>
    </xf>
    <xf numFmtId="0" fontId="11" fillId="0" borderId="22" xfId="0" applyFont="1" applyBorder="1" applyAlignment="1">
      <alignment horizontal="center" vertical="center"/>
    </xf>
    <xf numFmtId="1" fontId="12" fillId="0" borderId="15" xfId="0" applyNumberFormat="1" applyFont="1" applyBorder="1" applyAlignment="1">
      <alignment horizontal="center" vertical="center"/>
    </xf>
    <xf numFmtId="1" fontId="12" fillId="0" borderId="22" xfId="0" applyNumberFormat="1" applyFont="1" applyBorder="1" applyAlignment="1">
      <alignment horizontal="center" vertical="center"/>
    </xf>
    <xf numFmtId="0" fontId="11" fillId="0" borderId="15"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17" xfId="0" applyFont="1" applyBorder="1" applyAlignment="1">
      <alignment horizontal="center" vertical="center"/>
    </xf>
    <xf numFmtId="1" fontId="12" fillId="0" borderId="17" xfId="0" applyNumberFormat="1" applyFont="1" applyBorder="1" applyAlignment="1">
      <alignment horizontal="center" vertical="center"/>
    </xf>
    <xf numFmtId="0" fontId="11" fillId="0" borderId="17" xfId="0" applyFont="1" applyBorder="1" applyAlignment="1">
      <alignment horizontal="center" vertical="center" wrapText="1"/>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16" xfId="0" applyFont="1" applyBorder="1" applyAlignment="1">
      <alignment horizontal="center" vertical="center"/>
    </xf>
    <xf numFmtId="1" fontId="12" fillId="0" borderId="25" xfId="0" applyNumberFormat="1" applyFont="1" applyBorder="1" applyAlignment="1">
      <alignment horizontal="center" vertical="center"/>
    </xf>
    <xf numFmtId="1" fontId="12" fillId="0" borderId="26" xfId="0" applyNumberFormat="1" applyFont="1" applyBorder="1" applyAlignment="1">
      <alignment horizontal="center" vertical="center"/>
    </xf>
    <xf numFmtId="1" fontId="12" fillId="0" borderId="16" xfId="0" applyNumberFormat="1" applyFont="1" applyBorder="1" applyAlignment="1">
      <alignment horizontal="center" vertical="center"/>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3" fillId="0" borderId="4"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a:t>Resultados IPPTA</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23390761347940145"/>
          <c:y val="0.18552247943602893"/>
          <c:w val="0.54150256719879208"/>
          <c:h val="0.59024034235905265"/>
        </c:manualLayout>
      </c:layout>
      <c:radarChart>
        <c:radarStyle val="marker"/>
        <c:varyColors val="0"/>
        <c:ser>
          <c:idx val="0"/>
          <c:order val="0"/>
          <c:spPr>
            <a:ln w="25400" cap="rnd" cmpd="sng" algn="ctr">
              <a:solidFill>
                <a:schemeClr val="accent1"/>
              </a:solidFill>
              <a:prstDash val="sysDot"/>
              <a:round/>
            </a:ln>
            <a:effectLst/>
          </c:spPr>
          <c:marker>
            <c:symbol val="circle"/>
            <c:size val="6"/>
            <c:spPr>
              <a:solidFill>
                <a:schemeClr val="accent1"/>
              </a:solidFill>
              <a:ln>
                <a:noFill/>
              </a:ln>
              <a:effectLst/>
            </c:spPr>
          </c:marker>
          <c:cat>
            <c:strRef>
              <c:f>'GRÁFICO RADIAL'!$A$3:$A$23</c:f>
              <c:strCache>
                <c:ptCount val="21"/>
                <c:pt idx="0">
                  <c:v>1.PROTECCIÓN DE FUENTES DE AGUA</c:v>
                </c:pt>
                <c:pt idx="1">
                  <c:v>2.MANEJO DEL AGUA PARA EL CONSUMO HUMANO</c:v>
                </c:pt>
                <c:pt idx="2">
                  <c:v>3.AHORRO DE AGUA en el hogar y los sistemas productivos</c:v>
                </c:pt>
                <c:pt idx="3">
                  <c:v>4.PROTECCIÓN DEL BOSQUE EN LA FINCA</c:v>
                </c:pt>
                <c:pt idx="4">
                  <c:v>5.CONECTIVIDAD ENTRE EL PAISAJE Y EL AGROECOSISTEMA </c:v>
                </c:pt>
                <c:pt idx="5">
                  <c:v>6.MANEJO DE RESIDUOS SÓLIDOS </c:v>
                </c:pt>
                <c:pt idx="6">
                  <c:v>7.GENERACIÓN DE INGRESOS E INDICE DE AUTOEMPLEO</c:v>
                </c:pt>
                <c:pt idx="7">
                  <c:v>8.ORGANIZACIÓN PARA LA COMERCIALIZACIÓN  DE LOS PRODUCTOS </c:v>
                </c:pt>
                <c:pt idx="8">
                  <c:v>9.AUTOSUFICIENCIA ALIMENTARIA FAMILIAR</c:v>
                </c:pt>
                <c:pt idx="9">
                  <c:v>10.PARTICIPACIÓN DE LA FAMILIA EN PROCESOS COMUNITARIOS.</c:v>
                </c:pt>
                <c:pt idx="10">
                  <c:v>11.GESTIÓN DEL CONOCIMIENTO AGROECOLÓGICO</c:v>
                </c:pt>
                <c:pt idx="11">
                  <c:v>12.PARTICIPACIÓN EQUITATIVA EN LA TOMA DE DECISIONES </c:v>
                </c:pt>
                <c:pt idx="12">
                  <c:v>13.TRABAJO Y USO DEL TIEMPO </c:v>
                </c:pt>
                <c:pt idx="13">
                  <c:v>14.CONTROL Y DECISIÓN SOBRE EL TIEMPO</c:v>
                </c:pt>
                <c:pt idx="14">
                  <c:v>15.DIVERSIDAD DE CULTIVOS</c:v>
                </c:pt>
                <c:pt idx="15">
                  <c:v>16.DIVERSIDAD DE ANIMALES (incluyendo peces)</c:v>
                </c:pt>
                <c:pt idx="16">
                  <c:v>17.INTEGRACIÓN ENTRE ANIMALES  Y CULTIVOS</c:v>
                </c:pt>
                <c:pt idx="17">
                  <c:v>18.MANEJO DEL  SUELO  </c:v>
                </c:pt>
                <c:pt idx="18">
                  <c:v>19.BIENESTAR ANIMAL (si aplica) a nivel de Finca</c:v>
                </c:pt>
                <c:pt idx="19">
                  <c:v>20.PRODUCCIÓN DE INSUMOS EN LA FINCA</c:v>
                </c:pt>
                <c:pt idx="20">
                  <c:v>21.PRODUCIR Y CUSTODIAR SEMILLAS EN LA FINCA</c:v>
                </c:pt>
              </c:strCache>
            </c:strRef>
          </c:cat>
          <c:val>
            <c:numRef>
              <c:f>'GRÁFICO RADIAL'!$B$3:$B$23</c:f>
              <c:numCache>
                <c:formatCode>General</c:formatCode>
                <c:ptCount val="21"/>
                <c:pt idx="0">
                  <c:v>1</c:v>
                </c:pt>
                <c:pt idx="1">
                  <c:v>1</c:v>
                </c:pt>
                <c:pt idx="2">
                  <c:v>4</c:v>
                </c:pt>
                <c:pt idx="3">
                  <c:v>5</c:v>
                </c:pt>
                <c:pt idx="4">
                  <c:v>1</c:v>
                </c:pt>
                <c:pt idx="5">
                  <c:v>1</c:v>
                </c:pt>
                <c:pt idx="6">
                  <c:v>1</c:v>
                </c:pt>
                <c:pt idx="7">
                  <c:v>3</c:v>
                </c:pt>
                <c:pt idx="8">
                  <c:v>2</c:v>
                </c:pt>
                <c:pt idx="9">
                  <c:v>3</c:v>
                </c:pt>
                <c:pt idx="10">
                  <c:v>1</c:v>
                </c:pt>
                <c:pt idx="11">
                  <c:v>5</c:v>
                </c:pt>
                <c:pt idx="12">
                  <c:v>5</c:v>
                </c:pt>
                <c:pt idx="13">
                  <c:v>5</c:v>
                </c:pt>
                <c:pt idx="14">
                  <c:v>3</c:v>
                </c:pt>
                <c:pt idx="15">
                  <c:v>2</c:v>
                </c:pt>
                <c:pt idx="16">
                  <c:v>3</c:v>
                </c:pt>
                <c:pt idx="17">
                  <c:v>4</c:v>
                </c:pt>
                <c:pt idx="18">
                  <c:v>5</c:v>
                </c:pt>
                <c:pt idx="19">
                  <c:v>5</c:v>
                </c:pt>
                <c:pt idx="20">
                  <c:v>5</c:v>
                </c:pt>
              </c:numCache>
            </c:numRef>
          </c:val>
          <c:extLst>
            <c:ext xmlns:c16="http://schemas.microsoft.com/office/drawing/2014/chart" uri="{C3380CC4-5D6E-409C-BE32-E72D297353CC}">
              <c16:uniqueId val="{00000000-2416-45BD-8C6D-D26A2EE44D01}"/>
            </c:ext>
          </c:extLst>
        </c:ser>
        <c:dLbls>
          <c:showLegendKey val="0"/>
          <c:showVal val="0"/>
          <c:showCatName val="0"/>
          <c:showSerName val="0"/>
          <c:showPercent val="0"/>
          <c:showBubbleSize val="0"/>
        </c:dLbls>
        <c:axId val="357404696"/>
        <c:axId val="357399776"/>
      </c:radarChart>
      <c:catAx>
        <c:axId val="357404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7399776"/>
        <c:crosses val="autoZero"/>
        <c:auto val="1"/>
        <c:lblAlgn val="ctr"/>
        <c:lblOffset val="100"/>
        <c:noMultiLvlLbl val="0"/>
      </c:catAx>
      <c:valAx>
        <c:axId val="35739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7404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409573</xdr:colOff>
      <xdr:row>0</xdr:row>
      <xdr:rowOff>0</xdr:rowOff>
    </xdr:from>
    <xdr:to>
      <xdr:col>15</xdr:col>
      <xdr:colOff>9525</xdr:colOff>
      <xdr:row>24</xdr:row>
      <xdr:rowOff>123824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2"/>
  <sheetViews>
    <sheetView tabSelected="1" workbookViewId="0">
      <selection activeCell="O1" sqref="O1"/>
    </sheetView>
  </sheetViews>
  <sheetFormatPr baseColWidth="10" defaultRowHeight="15" x14ac:dyDescent="0.25"/>
  <cols>
    <col min="1" max="1" width="49" customWidth="1"/>
    <col min="3" max="3" width="24.42578125" customWidth="1"/>
    <col min="4" max="4" width="20.5703125" style="36" customWidth="1"/>
    <col min="5" max="5" width="21.85546875" customWidth="1"/>
    <col min="6" max="6" width="15.42578125" customWidth="1"/>
    <col min="7" max="7" width="30.7109375" customWidth="1"/>
  </cols>
  <sheetData>
    <row r="1" spans="1:29" s="1" customFormat="1" ht="50.25" customHeight="1" thickBot="1" x14ac:dyDescent="0.3">
      <c r="A1" s="52" t="s">
        <v>44</v>
      </c>
      <c r="B1" s="53"/>
      <c r="C1" s="53"/>
      <c r="D1" s="53"/>
      <c r="E1" s="53"/>
      <c r="F1" s="53"/>
      <c r="G1" s="54"/>
    </row>
    <row r="2" spans="1:29" s="1" customFormat="1" ht="24.6" customHeight="1" thickBot="1" x14ac:dyDescent="0.3">
      <c r="A2" s="63" t="s">
        <v>38</v>
      </c>
      <c r="B2" s="64"/>
      <c r="C2" s="64"/>
      <c r="D2" s="64"/>
      <c r="E2" s="64"/>
      <c r="F2" s="64"/>
      <c r="G2" s="65"/>
    </row>
    <row r="3" spans="1:29" s="1" customFormat="1" ht="52.5" customHeight="1" thickBot="1" x14ac:dyDescent="0.3">
      <c r="A3" s="22" t="s">
        <v>0</v>
      </c>
      <c r="B3" s="23" t="s">
        <v>1</v>
      </c>
      <c r="C3" s="24" t="s">
        <v>2</v>
      </c>
      <c r="D3" s="29" t="s">
        <v>3</v>
      </c>
      <c r="E3" s="24" t="s">
        <v>47</v>
      </c>
      <c r="F3" s="24" t="s">
        <v>48</v>
      </c>
      <c r="G3" s="25" t="s">
        <v>4</v>
      </c>
      <c r="M3" s="2"/>
      <c r="N3" s="2"/>
      <c r="O3" s="2"/>
      <c r="P3" s="2"/>
      <c r="Q3" s="2"/>
      <c r="R3" s="2"/>
      <c r="S3" s="2"/>
      <c r="T3" s="2"/>
      <c r="U3" s="2"/>
      <c r="V3" s="2"/>
      <c r="W3" s="2"/>
      <c r="X3" s="2"/>
      <c r="Y3" s="2"/>
      <c r="Z3" s="2"/>
      <c r="AB3" s="2"/>
      <c r="AC3" s="2"/>
    </row>
    <row r="4" spans="1:29" s="1" customFormat="1" ht="46.5" customHeight="1" x14ac:dyDescent="0.25">
      <c r="A4" s="28" t="s">
        <v>5</v>
      </c>
      <c r="B4" s="19">
        <v>5</v>
      </c>
      <c r="C4" s="74">
        <f>SUM(B4:B9)</f>
        <v>30</v>
      </c>
      <c r="D4" s="30">
        <v>1</v>
      </c>
      <c r="E4" s="76">
        <f>SUM(D4:D9)</f>
        <v>13</v>
      </c>
      <c r="F4" s="78">
        <f>E4/C4*100</f>
        <v>43.333333333333336</v>
      </c>
      <c r="G4" s="80" t="s">
        <v>6</v>
      </c>
      <c r="H4" s="2"/>
      <c r="M4" s="2"/>
      <c r="N4" s="2"/>
      <c r="O4" s="2"/>
      <c r="P4" s="2"/>
      <c r="Q4" s="2"/>
      <c r="R4" s="2"/>
      <c r="S4" s="2"/>
      <c r="T4" s="2"/>
      <c r="U4" s="2"/>
      <c r="V4" s="2"/>
      <c r="W4" s="2"/>
      <c r="X4" s="2"/>
      <c r="Y4" s="2"/>
      <c r="Z4" s="2"/>
      <c r="AB4" s="2"/>
      <c r="AC4" s="2"/>
    </row>
    <row r="5" spans="1:29" s="1" customFormat="1" ht="46.5" customHeight="1" x14ac:dyDescent="0.25">
      <c r="A5" s="26" t="s">
        <v>7</v>
      </c>
      <c r="B5" s="20">
        <v>5</v>
      </c>
      <c r="C5" s="75"/>
      <c r="D5" s="31">
        <v>1</v>
      </c>
      <c r="E5" s="77"/>
      <c r="F5" s="79"/>
      <c r="G5" s="81"/>
      <c r="H5" s="2"/>
      <c r="M5" s="2"/>
      <c r="N5" s="2"/>
      <c r="O5" s="2"/>
      <c r="P5" s="2"/>
      <c r="Q5" s="2"/>
      <c r="R5" s="2"/>
      <c r="S5" s="2"/>
      <c r="T5" s="2"/>
      <c r="U5" s="2"/>
      <c r="V5" s="2"/>
      <c r="W5" s="2"/>
      <c r="X5" s="2"/>
      <c r="Y5" s="2"/>
      <c r="Z5" s="2"/>
      <c r="AB5" s="2"/>
      <c r="AC5" s="2"/>
    </row>
    <row r="6" spans="1:29" s="1" customFormat="1" ht="46.5" customHeight="1" x14ac:dyDescent="0.25">
      <c r="A6" s="26" t="s">
        <v>8</v>
      </c>
      <c r="B6" s="20">
        <v>5</v>
      </c>
      <c r="C6" s="75"/>
      <c r="D6" s="31">
        <v>4</v>
      </c>
      <c r="E6" s="77"/>
      <c r="F6" s="79"/>
      <c r="G6" s="81"/>
      <c r="H6" s="2"/>
      <c r="M6" s="2"/>
      <c r="N6" s="2"/>
      <c r="O6" s="2"/>
      <c r="P6" s="2"/>
      <c r="Q6" s="2"/>
      <c r="R6" s="2"/>
      <c r="S6" s="2"/>
      <c r="T6" s="2"/>
      <c r="U6" s="2"/>
      <c r="V6" s="2"/>
      <c r="W6" s="2"/>
      <c r="X6" s="2"/>
      <c r="Y6" s="2"/>
      <c r="Z6" s="2"/>
      <c r="AB6" s="2"/>
      <c r="AC6" s="2"/>
    </row>
    <row r="7" spans="1:29" s="1" customFormat="1" ht="46.5" customHeight="1" x14ac:dyDescent="0.25">
      <c r="A7" s="26" t="s">
        <v>9</v>
      </c>
      <c r="B7" s="20">
        <v>5</v>
      </c>
      <c r="C7" s="75"/>
      <c r="D7" s="31">
        <v>5</v>
      </c>
      <c r="E7" s="77"/>
      <c r="F7" s="79"/>
      <c r="G7" s="81"/>
      <c r="H7" s="2"/>
      <c r="M7" s="2"/>
      <c r="N7" s="2"/>
      <c r="O7" s="2"/>
      <c r="P7" s="2"/>
      <c r="Q7" s="2"/>
      <c r="R7" s="2"/>
      <c r="S7" s="2"/>
      <c r="T7" s="2"/>
      <c r="U7" s="2"/>
      <c r="V7" s="2"/>
      <c r="W7" s="2"/>
      <c r="X7" s="2"/>
      <c r="Y7" s="2"/>
      <c r="Z7" s="2"/>
      <c r="AB7" s="2"/>
      <c r="AC7" s="2"/>
    </row>
    <row r="8" spans="1:29" s="1" customFormat="1" ht="46.5" customHeight="1" x14ac:dyDescent="0.25">
      <c r="A8" s="26" t="s">
        <v>10</v>
      </c>
      <c r="B8" s="20">
        <v>5</v>
      </c>
      <c r="C8" s="75"/>
      <c r="D8" s="31">
        <v>1</v>
      </c>
      <c r="E8" s="77"/>
      <c r="F8" s="79"/>
      <c r="G8" s="81"/>
      <c r="H8" s="2"/>
      <c r="M8" s="2"/>
      <c r="N8" s="2"/>
      <c r="O8" s="2"/>
      <c r="P8" s="2"/>
      <c r="Q8" s="2"/>
      <c r="R8" s="2"/>
      <c r="S8" s="2"/>
      <c r="T8" s="2"/>
      <c r="U8" s="2"/>
      <c r="V8" s="2"/>
      <c r="W8" s="2"/>
      <c r="X8" s="2"/>
      <c r="Y8" s="2"/>
      <c r="Z8" s="2"/>
      <c r="AB8" s="2"/>
      <c r="AC8" s="2"/>
    </row>
    <row r="9" spans="1:29" s="1" customFormat="1" ht="46.5" customHeight="1" thickBot="1" x14ac:dyDescent="0.3">
      <c r="A9" s="37" t="s">
        <v>11</v>
      </c>
      <c r="B9" s="38">
        <v>5</v>
      </c>
      <c r="C9" s="75"/>
      <c r="D9" s="39">
        <v>1</v>
      </c>
      <c r="E9" s="77"/>
      <c r="F9" s="79"/>
      <c r="G9" s="81"/>
      <c r="H9" s="2"/>
      <c r="M9" s="2"/>
      <c r="N9" s="2"/>
      <c r="O9" s="2"/>
      <c r="P9" s="2"/>
      <c r="Q9" s="2"/>
      <c r="R9" s="2"/>
      <c r="S9" s="2"/>
      <c r="T9" s="2"/>
      <c r="U9" s="2"/>
      <c r="V9" s="2"/>
      <c r="W9" s="2"/>
      <c r="X9" s="2"/>
      <c r="Y9" s="2"/>
      <c r="Z9" s="2"/>
      <c r="AB9" s="2"/>
      <c r="AC9" s="2"/>
    </row>
    <row r="10" spans="1:29" s="1" customFormat="1" ht="46.5" customHeight="1" x14ac:dyDescent="0.25">
      <c r="A10" s="44" t="s">
        <v>12</v>
      </c>
      <c r="B10" s="3">
        <v>5</v>
      </c>
      <c r="C10" s="85">
        <f>B10+B11+B12+B13+B14+B15+B16+B17</f>
        <v>40</v>
      </c>
      <c r="D10" s="45">
        <v>1</v>
      </c>
      <c r="E10" s="85">
        <f>D10+D11+D12+D13+D14+D15+D16+D17</f>
        <v>25</v>
      </c>
      <c r="F10" s="88">
        <f>E10/C10*100</f>
        <v>62.5</v>
      </c>
      <c r="G10" s="91" t="s">
        <v>13</v>
      </c>
      <c r="H10" s="2"/>
      <c r="M10" s="2"/>
      <c r="N10" s="2"/>
      <c r="O10" s="2"/>
      <c r="P10" s="2"/>
      <c r="Q10" s="2"/>
      <c r="R10" s="2"/>
      <c r="S10" s="2"/>
      <c r="T10" s="2"/>
      <c r="U10" s="2"/>
      <c r="V10" s="2"/>
      <c r="W10" s="2"/>
      <c r="X10" s="2"/>
      <c r="Y10" s="2"/>
      <c r="Z10" s="2"/>
      <c r="AB10" s="2"/>
      <c r="AC10" s="2"/>
    </row>
    <row r="11" spans="1:29" s="1" customFormat="1" ht="46.5" customHeight="1" x14ac:dyDescent="0.25">
      <c r="A11" s="46" t="s">
        <v>14</v>
      </c>
      <c r="B11" s="4">
        <v>5</v>
      </c>
      <c r="C11" s="86"/>
      <c r="D11" s="43">
        <v>3</v>
      </c>
      <c r="E11" s="86"/>
      <c r="F11" s="89"/>
      <c r="G11" s="92"/>
      <c r="H11" s="2"/>
      <c r="M11" s="2"/>
      <c r="N11" s="2"/>
      <c r="O11" s="2"/>
      <c r="P11" s="2"/>
      <c r="Q11" s="2"/>
      <c r="R11" s="2"/>
      <c r="S11" s="2"/>
      <c r="T11" s="2"/>
      <c r="U11" s="2"/>
      <c r="V11" s="2"/>
      <c r="W11" s="2"/>
      <c r="X11" s="2"/>
      <c r="Y11" s="2"/>
      <c r="Z11" s="2"/>
      <c r="AB11" s="2"/>
      <c r="AC11" s="2"/>
    </row>
    <row r="12" spans="1:29" s="1" customFormat="1" ht="46.5" customHeight="1" x14ac:dyDescent="0.25">
      <c r="A12" s="46" t="s">
        <v>15</v>
      </c>
      <c r="B12" s="4">
        <v>5</v>
      </c>
      <c r="C12" s="86"/>
      <c r="D12" s="43">
        <v>2</v>
      </c>
      <c r="E12" s="86"/>
      <c r="F12" s="89"/>
      <c r="G12" s="92"/>
      <c r="H12" s="2"/>
      <c r="M12" s="2"/>
      <c r="N12" s="2"/>
      <c r="O12" s="2"/>
      <c r="P12" s="2"/>
      <c r="Q12" s="2"/>
      <c r="R12" s="2"/>
      <c r="S12" s="2"/>
      <c r="T12" s="2"/>
      <c r="U12" s="2"/>
      <c r="V12" s="2"/>
      <c r="W12" s="2"/>
      <c r="X12" s="2"/>
      <c r="Y12" s="2"/>
      <c r="Z12" s="2"/>
      <c r="AB12" s="2"/>
      <c r="AC12" s="2"/>
    </row>
    <row r="13" spans="1:29" s="1" customFormat="1" ht="46.5" customHeight="1" x14ac:dyDescent="0.25">
      <c r="A13" s="46" t="s">
        <v>16</v>
      </c>
      <c r="B13" s="4">
        <v>5</v>
      </c>
      <c r="C13" s="86"/>
      <c r="D13" s="43">
        <v>3</v>
      </c>
      <c r="E13" s="86"/>
      <c r="F13" s="89"/>
      <c r="G13" s="92"/>
      <c r="H13" s="2"/>
      <c r="M13" s="2"/>
      <c r="N13" s="2"/>
      <c r="O13" s="2"/>
      <c r="P13" s="2"/>
      <c r="Q13" s="2"/>
      <c r="R13" s="2"/>
      <c r="S13" s="2"/>
      <c r="T13" s="2"/>
      <c r="U13" s="2"/>
      <c r="V13" s="2"/>
      <c r="W13" s="2"/>
      <c r="X13" s="2"/>
      <c r="Y13" s="2"/>
      <c r="Z13" s="2"/>
      <c r="AB13" s="2"/>
      <c r="AC13" s="2"/>
    </row>
    <row r="14" spans="1:29" s="1" customFormat="1" ht="46.5" customHeight="1" x14ac:dyDescent="0.25">
      <c r="A14" s="46" t="s">
        <v>17</v>
      </c>
      <c r="B14" s="4">
        <v>5</v>
      </c>
      <c r="C14" s="86"/>
      <c r="D14" s="43">
        <v>1</v>
      </c>
      <c r="E14" s="86"/>
      <c r="F14" s="89"/>
      <c r="G14" s="92"/>
      <c r="H14" s="2"/>
      <c r="M14" s="2"/>
      <c r="N14" s="2"/>
      <c r="O14" s="2"/>
      <c r="P14" s="2"/>
      <c r="Q14" s="2"/>
      <c r="R14" s="2"/>
      <c r="S14" s="2"/>
      <c r="T14" s="2"/>
      <c r="U14" s="2"/>
      <c r="V14" s="2"/>
      <c r="W14" s="2"/>
      <c r="X14" s="2"/>
      <c r="Y14" s="2"/>
      <c r="Z14" s="2"/>
      <c r="AB14" s="2"/>
      <c r="AC14" s="2"/>
    </row>
    <row r="15" spans="1:29" s="1" customFormat="1" ht="46.5" customHeight="1" x14ac:dyDescent="0.25">
      <c r="A15" s="46" t="s">
        <v>49</v>
      </c>
      <c r="B15" s="4">
        <v>5</v>
      </c>
      <c r="C15" s="86"/>
      <c r="D15" s="43">
        <v>5</v>
      </c>
      <c r="E15" s="86"/>
      <c r="F15" s="89"/>
      <c r="G15" s="92"/>
      <c r="H15" s="2"/>
      <c r="M15" s="2"/>
      <c r="N15" s="2"/>
      <c r="O15" s="2"/>
      <c r="P15" s="2"/>
      <c r="Q15" s="2"/>
      <c r="R15" s="2"/>
      <c r="S15" s="2"/>
      <c r="T15" s="2"/>
      <c r="U15" s="2"/>
      <c r="V15" s="2"/>
      <c r="W15" s="2"/>
      <c r="X15" s="2"/>
      <c r="Y15" s="2"/>
      <c r="Z15" s="2"/>
      <c r="AB15" s="2"/>
      <c r="AC15" s="2"/>
    </row>
    <row r="16" spans="1:29" s="1" customFormat="1" ht="46.5" customHeight="1" x14ac:dyDescent="0.25">
      <c r="A16" s="46" t="s">
        <v>50</v>
      </c>
      <c r="B16" s="4">
        <v>5</v>
      </c>
      <c r="C16" s="86"/>
      <c r="D16" s="43">
        <v>5</v>
      </c>
      <c r="E16" s="86"/>
      <c r="F16" s="89"/>
      <c r="G16" s="92"/>
      <c r="H16" s="2"/>
      <c r="M16" s="2"/>
      <c r="N16" s="2"/>
      <c r="O16" s="2"/>
      <c r="P16" s="2"/>
      <c r="Q16" s="2"/>
      <c r="R16" s="2"/>
      <c r="S16" s="2"/>
      <c r="T16" s="2"/>
      <c r="U16" s="2"/>
      <c r="V16" s="2"/>
      <c r="W16" s="2"/>
      <c r="X16" s="2"/>
      <c r="Y16" s="2"/>
      <c r="Z16" s="2"/>
      <c r="AB16" s="2"/>
      <c r="AC16" s="2"/>
    </row>
    <row r="17" spans="1:29" s="1" customFormat="1" ht="46.5" customHeight="1" thickBot="1" x14ac:dyDescent="0.3">
      <c r="A17" s="47" t="s">
        <v>51</v>
      </c>
      <c r="B17" s="5">
        <v>5</v>
      </c>
      <c r="C17" s="87"/>
      <c r="D17" s="48">
        <v>5</v>
      </c>
      <c r="E17" s="87"/>
      <c r="F17" s="90"/>
      <c r="G17" s="93"/>
      <c r="H17" s="2"/>
      <c r="M17" s="2"/>
      <c r="N17" s="2"/>
      <c r="O17" s="2"/>
      <c r="P17" s="2"/>
      <c r="Q17" s="2"/>
      <c r="R17" s="2"/>
      <c r="S17" s="2"/>
      <c r="T17" s="2"/>
      <c r="U17" s="2"/>
      <c r="V17" s="2"/>
      <c r="W17" s="2"/>
      <c r="X17" s="2"/>
      <c r="Y17" s="2"/>
      <c r="Z17" s="2"/>
      <c r="AB17" s="2"/>
      <c r="AC17" s="2"/>
    </row>
    <row r="18" spans="1:29" s="1" customFormat="1" ht="46.5" customHeight="1" x14ac:dyDescent="0.25">
      <c r="A18" s="40" t="s">
        <v>18</v>
      </c>
      <c r="B18" s="41">
        <v>5</v>
      </c>
      <c r="C18" s="77">
        <f>SUM(B18:B24)</f>
        <v>35</v>
      </c>
      <c r="D18" s="42">
        <v>3</v>
      </c>
      <c r="E18" s="77">
        <f>SUM(D18:D24)</f>
        <v>27</v>
      </c>
      <c r="F18" s="79">
        <f>E18/C18*100</f>
        <v>77.142857142857153</v>
      </c>
      <c r="G18" s="81" t="s">
        <v>19</v>
      </c>
      <c r="H18" s="2"/>
      <c r="J18" s="2"/>
      <c r="K18" s="2"/>
      <c r="M18" s="2"/>
      <c r="N18" s="2"/>
      <c r="O18" s="2"/>
      <c r="P18" s="2"/>
      <c r="Q18" s="2"/>
      <c r="R18" s="2"/>
      <c r="S18" s="2"/>
      <c r="T18" s="2"/>
      <c r="U18" s="2"/>
      <c r="V18" s="2"/>
      <c r="W18" s="2"/>
      <c r="X18" s="2"/>
      <c r="Y18" s="2"/>
      <c r="Z18" s="2"/>
      <c r="AB18" s="2"/>
      <c r="AC18" s="2"/>
    </row>
    <row r="19" spans="1:29" s="1" customFormat="1" ht="46.5" customHeight="1" x14ac:dyDescent="0.25">
      <c r="A19" s="26" t="s">
        <v>20</v>
      </c>
      <c r="B19" s="20">
        <v>5</v>
      </c>
      <c r="C19" s="77"/>
      <c r="D19" s="31">
        <v>2</v>
      </c>
      <c r="E19" s="77"/>
      <c r="F19" s="79"/>
      <c r="G19" s="81"/>
      <c r="H19" s="2"/>
      <c r="J19" s="2"/>
      <c r="K19" s="2"/>
      <c r="M19" s="2"/>
      <c r="N19" s="2"/>
      <c r="O19" s="2"/>
      <c r="P19" s="2"/>
      <c r="Q19" s="2"/>
      <c r="R19" s="2"/>
      <c r="S19" s="2"/>
      <c r="T19" s="2"/>
      <c r="U19" s="2"/>
      <c r="V19" s="2"/>
      <c r="W19" s="2"/>
      <c r="X19" s="2"/>
      <c r="Y19" s="2"/>
      <c r="Z19" s="2"/>
      <c r="AB19" s="2"/>
      <c r="AC19" s="2"/>
    </row>
    <row r="20" spans="1:29" s="1" customFormat="1" ht="46.5" customHeight="1" x14ac:dyDescent="0.25">
      <c r="A20" s="26" t="s">
        <v>21</v>
      </c>
      <c r="B20" s="20">
        <v>5</v>
      </c>
      <c r="C20" s="77"/>
      <c r="D20" s="31">
        <v>3</v>
      </c>
      <c r="E20" s="77"/>
      <c r="F20" s="79"/>
      <c r="G20" s="81"/>
      <c r="H20" s="2"/>
      <c r="I20" s="2"/>
      <c r="J20" s="2"/>
      <c r="K20" s="2"/>
      <c r="M20" s="2"/>
      <c r="N20" s="2"/>
      <c r="O20" s="2"/>
      <c r="P20" s="2"/>
      <c r="Q20" s="2"/>
      <c r="R20" s="2"/>
      <c r="S20" s="2"/>
      <c r="T20" s="2"/>
      <c r="U20" s="2"/>
      <c r="V20" s="2"/>
      <c r="W20" s="2"/>
      <c r="X20" s="2"/>
      <c r="Y20" s="2"/>
      <c r="Z20" s="2"/>
      <c r="AB20" s="2"/>
      <c r="AC20" s="2"/>
    </row>
    <row r="21" spans="1:29" s="1" customFormat="1" ht="46.5" customHeight="1" x14ac:dyDescent="0.25">
      <c r="A21" s="26" t="s">
        <v>22</v>
      </c>
      <c r="B21" s="20">
        <v>5</v>
      </c>
      <c r="C21" s="77"/>
      <c r="D21" s="31">
        <v>4</v>
      </c>
      <c r="E21" s="77"/>
      <c r="F21" s="79"/>
      <c r="G21" s="81"/>
      <c r="H21" s="2"/>
      <c r="I21" s="2"/>
      <c r="J21" s="2"/>
      <c r="K21" s="2"/>
      <c r="M21" s="2"/>
      <c r="N21" s="2"/>
      <c r="O21" s="2"/>
      <c r="P21" s="2"/>
      <c r="Q21" s="2"/>
      <c r="R21" s="2"/>
      <c r="S21" s="2"/>
      <c r="T21" s="2"/>
      <c r="U21" s="2"/>
      <c r="V21" s="2"/>
      <c r="W21" s="2"/>
      <c r="X21" s="2"/>
      <c r="Y21" s="2"/>
      <c r="Z21" s="2"/>
      <c r="AB21" s="2"/>
      <c r="AC21" s="2"/>
    </row>
    <row r="22" spans="1:29" s="1" customFormat="1" ht="46.5" customHeight="1" x14ac:dyDescent="0.25">
      <c r="A22" s="26" t="s">
        <v>23</v>
      </c>
      <c r="B22" s="20">
        <v>5</v>
      </c>
      <c r="C22" s="77"/>
      <c r="D22" s="31">
        <v>5</v>
      </c>
      <c r="E22" s="77"/>
      <c r="F22" s="79"/>
      <c r="G22" s="81"/>
      <c r="H22" s="2"/>
      <c r="I22" s="2"/>
      <c r="J22" s="2"/>
      <c r="K22" s="2"/>
      <c r="M22" s="2"/>
      <c r="N22" s="2"/>
      <c r="O22" s="2"/>
      <c r="P22" s="2"/>
      <c r="Q22" s="2"/>
      <c r="R22" s="2"/>
      <c r="S22" s="2"/>
      <c r="T22" s="2"/>
      <c r="U22" s="2"/>
      <c r="V22" s="2"/>
      <c r="W22" s="2"/>
      <c r="X22" s="2"/>
      <c r="Y22" s="2"/>
      <c r="Z22" s="2"/>
      <c r="AB22" s="2"/>
      <c r="AC22" s="2"/>
    </row>
    <row r="23" spans="1:29" s="1" customFormat="1" ht="46.5" customHeight="1" x14ac:dyDescent="0.25">
      <c r="A23" s="26" t="s">
        <v>52</v>
      </c>
      <c r="B23" s="20">
        <v>5</v>
      </c>
      <c r="C23" s="77"/>
      <c r="D23" s="31">
        <v>5</v>
      </c>
      <c r="E23" s="77"/>
      <c r="F23" s="79"/>
      <c r="G23" s="81"/>
      <c r="H23" s="2"/>
      <c r="I23" s="2"/>
      <c r="J23" s="2"/>
      <c r="K23" s="2"/>
      <c r="M23" s="2"/>
      <c r="N23" s="2"/>
      <c r="O23" s="2"/>
      <c r="P23" s="2"/>
      <c r="Q23" s="2"/>
      <c r="R23" s="2"/>
      <c r="S23" s="2"/>
      <c r="T23" s="2"/>
      <c r="U23" s="2"/>
      <c r="V23" s="2"/>
      <c r="W23" s="2"/>
      <c r="X23" s="2"/>
      <c r="Y23" s="2"/>
      <c r="Z23" s="2"/>
      <c r="AB23" s="2"/>
      <c r="AC23" s="2"/>
    </row>
    <row r="24" spans="1:29" s="1" customFormat="1" ht="46.5" customHeight="1" thickBot="1" x14ac:dyDescent="0.3">
      <c r="A24" s="27" t="s">
        <v>24</v>
      </c>
      <c r="B24" s="21">
        <v>5</v>
      </c>
      <c r="C24" s="82"/>
      <c r="D24" s="32">
        <v>5</v>
      </c>
      <c r="E24" s="82"/>
      <c r="F24" s="83"/>
      <c r="G24" s="84"/>
      <c r="H24" s="2"/>
      <c r="I24" s="2"/>
      <c r="J24" s="2"/>
      <c r="K24" s="2"/>
      <c r="M24" s="2"/>
      <c r="N24" s="2"/>
      <c r="O24" s="2"/>
      <c r="P24" s="2"/>
      <c r="Q24" s="2"/>
      <c r="R24" s="2"/>
      <c r="S24" s="2"/>
      <c r="T24" s="2"/>
      <c r="U24" s="2"/>
      <c r="V24" s="2"/>
      <c r="W24" s="2"/>
      <c r="X24" s="2"/>
      <c r="Y24" s="2"/>
      <c r="Z24" s="2"/>
      <c r="AB24" s="2"/>
      <c r="AC24" s="2"/>
    </row>
    <row r="25" spans="1:29" s="1" customFormat="1" ht="46.5" customHeight="1" thickBot="1" x14ac:dyDescent="0.3">
      <c r="A25" s="18" t="s">
        <v>76</v>
      </c>
      <c r="B25" s="66">
        <f>AVERAGE(F4,F10,F18)</f>
        <v>60.992063492063494</v>
      </c>
      <c r="C25" s="67"/>
      <c r="D25" s="67"/>
      <c r="E25" s="67"/>
      <c r="F25" s="67"/>
      <c r="G25" s="68"/>
      <c r="H25" s="2"/>
      <c r="I25" s="2"/>
      <c r="J25" s="2"/>
      <c r="K25" s="2"/>
      <c r="M25" s="2"/>
      <c r="N25" s="2"/>
      <c r="O25" s="2"/>
      <c r="P25" s="2"/>
      <c r="Q25" s="2"/>
      <c r="R25" s="2"/>
      <c r="S25" s="2"/>
      <c r="T25" s="2"/>
      <c r="U25" s="2"/>
      <c r="V25" s="2"/>
      <c r="W25" s="2"/>
      <c r="X25" s="2"/>
      <c r="Y25" s="2"/>
      <c r="Z25" s="2"/>
      <c r="AB25" s="2"/>
      <c r="AC25" s="2"/>
    </row>
    <row r="26" spans="1:29" s="1" customFormat="1" ht="46.5" customHeight="1" thickBot="1" x14ac:dyDescent="0.3">
      <c r="A26" s="2"/>
      <c r="B26" s="2"/>
      <c r="D26" s="33"/>
      <c r="F26" s="2"/>
      <c r="G26" s="2"/>
      <c r="H26" s="2"/>
      <c r="I26" s="2"/>
      <c r="J26" s="2"/>
      <c r="K26" s="2"/>
      <c r="L26" s="2"/>
      <c r="M26" s="2"/>
      <c r="N26" s="2"/>
      <c r="O26" s="2"/>
      <c r="P26" s="2"/>
      <c r="Q26" s="2"/>
      <c r="R26" s="2"/>
      <c r="S26" s="2"/>
      <c r="U26" s="2"/>
      <c r="V26" s="2"/>
    </row>
    <row r="27" spans="1:29" s="1" customFormat="1" ht="50.25" customHeight="1" thickBot="1" x14ac:dyDescent="0.3">
      <c r="A27" s="6"/>
      <c r="B27" s="69" t="s">
        <v>74</v>
      </c>
      <c r="C27" s="70"/>
      <c r="D27" s="70"/>
      <c r="E27" s="70"/>
      <c r="F27" s="70"/>
      <c r="G27" s="71"/>
      <c r="H27" s="2"/>
      <c r="I27" s="2"/>
      <c r="J27" s="2"/>
      <c r="K27" s="2"/>
      <c r="L27" s="2"/>
      <c r="M27" s="2"/>
      <c r="N27" s="2"/>
      <c r="O27" s="2"/>
      <c r="P27" s="2"/>
      <c r="Q27" s="2"/>
      <c r="R27" s="2"/>
      <c r="S27" s="2"/>
      <c r="U27" s="2"/>
      <c r="V27" s="2"/>
    </row>
    <row r="28" spans="1:29" s="1" customFormat="1" ht="46.5" customHeight="1" thickBot="1" x14ac:dyDescent="0.3">
      <c r="A28" s="2"/>
      <c r="B28" s="8" t="s">
        <v>25</v>
      </c>
      <c r="C28" s="72" t="s">
        <v>75</v>
      </c>
      <c r="D28" s="72"/>
      <c r="E28" s="72" t="s">
        <v>26</v>
      </c>
      <c r="F28" s="72"/>
      <c r="G28" s="73"/>
      <c r="H28" s="2"/>
      <c r="I28" s="2"/>
      <c r="J28" s="2"/>
      <c r="K28" s="2"/>
      <c r="L28" s="2"/>
      <c r="M28" s="2"/>
      <c r="N28" s="2"/>
      <c r="O28" s="2"/>
      <c r="P28" s="2"/>
      <c r="Q28" s="2"/>
      <c r="R28" s="2"/>
      <c r="S28" s="2"/>
      <c r="U28" s="2"/>
      <c r="V28" s="2"/>
    </row>
    <row r="29" spans="1:29" s="1" customFormat="1" ht="216.75" customHeight="1" thickBot="1" x14ac:dyDescent="0.3">
      <c r="A29" s="2"/>
      <c r="B29" s="15" t="s">
        <v>27</v>
      </c>
      <c r="C29" s="16" t="s">
        <v>28</v>
      </c>
      <c r="D29" s="34" t="s">
        <v>29</v>
      </c>
      <c r="E29" s="49" t="s">
        <v>43</v>
      </c>
      <c r="F29" s="50"/>
      <c r="G29" s="51"/>
      <c r="H29" s="2"/>
      <c r="I29" s="2"/>
      <c r="J29" s="2"/>
      <c r="K29" s="2"/>
      <c r="L29" s="2"/>
      <c r="M29" s="2"/>
      <c r="N29" s="2"/>
      <c r="O29" s="2"/>
      <c r="P29" s="2"/>
      <c r="Q29" s="2"/>
      <c r="R29" s="2"/>
      <c r="S29" s="2"/>
      <c r="U29" s="2"/>
      <c r="V29" s="2"/>
    </row>
    <row r="30" spans="1:29" s="1" customFormat="1" ht="243" customHeight="1" thickBot="1" x14ac:dyDescent="0.3">
      <c r="A30" s="2"/>
      <c r="B30" s="13" t="s">
        <v>30</v>
      </c>
      <c r="C30" s="14" t="s">
        <v>41</v>
      </c>
      <c r="D30" s="34" t="s">
        <v>31</v>
      </c>
      <c r="E30" s="60" t="s">
        <v>42</v>
      </c>
      <c r="F30" s="61"/>
      <c r="G30" s="62"/>
      <c r="H30" s="2"/>
      <c r="I30" s="2"/>
      <c r="J30" s="2"/>
      <c r="K30" s="2"/>
      <c r="L30" s="2"/>
      <c r="M30" s="2"/>
      <c r="N30" s="2"/>
      <c r="O30" s="2"/>
      <c r="P30" s="2"/>
      <c r="Q30" s="2"/>
      <c r="R30" s="2"/>
      <c r="S30" s="2"/>
      <c r="U30" s="2"/>
      <c r="V30" s="2"/>
    </row>
    <row r="31" spans="1:29" s="1" customFormat="1" ht="101.25" customHeight="1" thickBot="1" x14ac:dyDescent="0.3">
      <c r="A31" s="2"/>
      <c r="B31" s="9" t="s">
        <v>32</v>
      </c>
      <c r="C31" s="10" t="s">
        <v>40</v>
      </c>
      <c r="D31" s="35" t="s">
        <v>33</v>
      </c>
      <c r="E31" s="57" t="s">
        <v>39</v>
      </c>
      <c r="F31" s="58"/>
      <c r="G31" s="59"/>
      <c r="H31" s="2"/>
      <c r="I31" s="2"/>
      <c r="J31" s="2"/>
      <c r="K31" s="2"/>
      <c r="L31" s="2"/>
      <c r="M31" s="2"/>
      <c r="N31" s="2"/>
      <c r="O31" s="2"/>
      <c r="P31" s="2"/>
      <c r="Q31" s="2"/>
      <c r="R31" s="2"/>
      <c r="S31" s="2"/>
      <c r="U31" s="2"/>
      <c r="V31" s="2"/>
    </row>
    <row r="32" spans="1:29" s="7" customFormat="1" ht="198.75" customHeight="1" thickBot="1" x14ac:dyDescent="0.3">
      <c r="A32" s="2"/>
      <c r="B32" s="11" t="s">
        <v>34</v>
      </c>
      <c r="C32" s="12" t="s">
        <v>35</v>
      </c>
      <c r="D32" s="34" t="s">
        <v>36</v>
      </c>
      <c r="E32" s="55" t="s">
        <v>37</v>
      </c>
      <c r="F32" s="55"/>
      <c r="G32" s="56"/>
    </row>
  </sheetData>
  <mergeCells count="22">
    <mergeCell ref="F18:F24"/>
    <mergeCell ref="G18:G24"/>
    <mergeCell ref="C10:C17"/>
    <mergeCell ref="E10:E17"/>
    <mergeCell ref="F10:F17"/>
    <mergeCell ref="G10:G17"/>
    <mergeCell ref="E29:G29"/>
    <mergeCell ref="A1:G1"/>
    <mergeCell ref="E32:G32"/>
    <mergeCell ref="E31:G31"/>
    <mergeCell ref="E30:G30"/>
    <mergeCell ref="A2:G2"/>
    <mergeCell ref="B25:G25"/>
    <mergeCell ref="B27:G27"/>
    <mergeCell ref="C28:D28"/>
    <mergeCell ref="E28:G28"/>
    <mergeCell ref="C4:C9"/>
    <mergeCell ref="E4:E9"/>
    <mergeCell ref="F4:F9"/>
    <mergeCell ref="G4:G9"/>
    <mergeCell ref="C18:C24"/>
    <mergeCell ref="E18:E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Q7" sqref="Q7"/>
    </sheetView>
  </sheetViews>
  <sheetFormatPr baseColWidth="10" defaultRowHeight="15" x14ac:dyDescent="0.25"/>
  <cols>
    <col min="1" max="1" width="24.7109375" bestFit="1" customWidth="1"/>
    <col min="3" max="3" width="11.42578125" customWidth="1"/>
    <col min="23" max="24" width="11.42578125" customWidth="1"/>
  </cols>
  <sheetData>
    <row r="1" spans="1:2" ht="31.5" customHeight="1" x14ac:dyDescent="0.25">
      <c r="A1" s="94" t="s">
        <v>45</v>
      </c>
      <c r="B1" s="94"/>
    </row>
    <row r="2" spans="1:2" ht="28.5" customHeight="1" x14ac:dyDescent="0.25">
      <c r="A2" s="94" t="s">
        <v>46</v>
      </c>
      <c r="B2" s="94"/>
    </row>
    <row r="3" spans="1:2" ht="22.5" x14ac:dyDescent="0.25">
      <c r="A3" s="17" t="s">
        <v>53</v>
      </c>
      <c r="B3" s="4">
        <f>'ESTADO DE TRANSICIÓN PREDIAL'!D4</f>
        <v>1</v>
      </c>
    </row>
    <row r="4" spans="1:2" ht="22.5" x14ac:dyDescent="0.25">
      <c r="A4" s="17" t="s">
        <v>54</v>
      </c>
      <c r="B4" s="4">
        <f>'ESTADO DE TRANSICIÓN PREDIAL'!D5</f>
        <v>1</v>
      </c>
    </row>
    <row r="5" spans="1:2" ht="33.75" x14ac:dyDescent="0.25">
      <c r="A5" s="17" t="s">
        <v>55</v>
      </c>
      <c r="B5" s="4">
        <f>'ESTADO DE TRANSICIÓN PREDIAL'!D6</f>
        <v>4</v>
      </c>
    </row>
    <row r="6" spans="1:2" ht="22.5" x14ac:dyDescent="0.25">
      <c r="A6" s="17" t="s">
        <v>56</v>
      </c>
      <c r="B6" s="4">
        <f>'ESTADO DE TRANSICIÓN PREDIAL'!D7</f>
        <v>5</v>
      </c>
    </row>
    <row r="7" spans="1:2" ht="33.75" x14ac:dyDescent="0.25">
      <c r="A7" s="17" t="s">
        <v>57</v>
      </c>
      <c r="B7" s="4">
        <f>'ESTADO DE TRANSICIÓN PREDIAL'!D8</f>
        <v>1</v>
      </c>
    </row>
    <row r="8" spans="1:2" ht="22.5" x14ac:dyDescent="0.25">
      <c r="A8" s="17" t="s">
        <v>58</v>
      </c>
      <c r="B8" s="4">
        <f>'ESTADO DE TRANSICIÓN PREDIAL'!D9</f>
        <v>1</v>
      </c>
    </row>
    <row r="9" spans="1:2" ht="22.5" x14ac:dyDescent="0.25">
      <c r="A9" s="17" t="s">
        <v>59</v>
      </c>
      <c r="B9" s="4">
        <f>'ESTADO DE TRANSICIÓN PREDIAL'!D10</f>
        <v>1</v>
      </c>
    </row>
    <row r="10" spans="1:2" ht="33.75" x14ac:dyDescent="0.25">
      <c r="A10" s="17" t="s">
        <v>60</v>
      </c>
      <c r="B10" s="4">
        <f>'ESTADO DE TRANSICIÓN PREDIAL'!D11</f>
        <v>3</v>
      </c>
    </row>
    <row r="11" spans="1:2" ht="22.5" x14ac:dyDescent="0.25">
      <c r="A11" s="17" t="s">
        <v>61</v>
      </c>
      <c r="B11" s="4">
        <f>'ESTADO DE TRANSICIÓN PREDIAL'!D12</f>
        <v>2</v>
      </c>
    </row>
    <row r="12" spans="1:2" ht="33.75" x14ac:dyDescent="0.25">
      <c r="A12" s="17" t="s">
        <v>62</v>
      </c>
      <c r="B12" s="4">
        <f>'ESTADO DE TRANSICIÓN PREDIAL'!D13</f>
        <v>3</v>
      </c>
    </row>
    <row r="13" spans="1:2" ht="33.75" x14ac:dyDescent="0.25">
      <c r="A13" s="17" t="s">
        <v>63</v>
      </c>
      <c r="B13" s="4">
        <f>'ESTADO DE TRANSICIÓN PREDIAL'!D14</f>
        <v>1</v>
      </c>
    </row>
    <row r="14" spans="1:2" ht="33.75" x14ac:dyDescent="0.25">
      <c r="A14" s="17" t="s">
        <v>64</v>
      </c>
      <c r="B14" s="4">
        <v>5</v>
      </c>
    </row>
    <row r="15" spans="1:2" ht="22.5" x14ac:dyDescent="0.25">
      <c r="A15" s="17" t="s">
        <v>65</v>
      </c>
      <c r="B15" s="4">
        <v>5</v>
      </c>
    </row>
    <row r="16" spans="1:2" ht="22.5" x14ac:dyDescent="0.25">
      <c r="A16" s="17" t="s">
        <v>66</v>
      </c>
      <c r="B16" s="4">
        <v>5</v>
      </c>
    </row>
    <row r="17" spans="1:2" ht="15.75" x14ac:dyDescent="0.25">
      <c r="A17" s="17" t="s">
        <v>67</v>
      </c>
      <c r="B17" s="4">
        <f>'ESTADO DE TRANSICIÓN PREDIAL'!D18</f>
        <v>3</v>
      </c>
    </row>
    <row r="18" spans="1:2" ht="22.5" x14ac:dyDescent="0.25">
      <c r="A18" s="17" t="s">
        <v>68</v>
      </c>
      <c r="B18" s="4">
        <f>'ESTADO DE TRANSICIÓN PREDIAL'!D19</f>
        <v>2</v>
      </c>
    </row>
    <row r="19" spans="1:2" ht="22.5" x14ac:dyDescent="0.25">
      <c r="A19" s="17" t="s">
        <v>69</v>
      </c>
      <c r="B19" s="4">
        <f>'ESTADO DE TRANSICIÓN PREDIAL'!D20</f>
        <v>3</v>
      </c>
    </row>
    <row r="20" spans="1:2" ht="15.75" x14ac:dyDescent="0.25">
      <c r="A20" s="17" t="s">
        <v>70</v>
      </c>
      <c r="B20" s="4">
        <f>'ESTADO DE TRANSICIÓN PREDIAL'!D21</f>
        <v>4</v>
      </c>
    </row>
    <row r="21" spans="1:2" ht="22.5" x14ac:dyDescent="0.25">
      <c r="A21" s="17" t="s">
        <v>71</v>
      </c>
      <c r="B21" s="4">
        <f>'ESTADO DE TRANSICIÓN PREDIAL'!D22</f>
        <v>5</v>
      </c>
    </row>
    <row r="22" spans="1:2" ht="22.5" x14ac:dyDescent="0.25">
      <c r="A22" s="17" t="s">
        <v>72</v>
      </c>
      <c r="B22" s="4">
        <f>'ESTADO DE TRANSICIÓN PREDIAL'!D23</f>
        <v>5</v>
      </c>
    </row>
    <row r="23" spans="1:2" ht="22.5" x14ac:dyDescent="0.25">
      <c r="A23" s="17" t="s">
        <v>73</v>
      </c>
      <c r="B23" s="4">
        <f>'ESTADO DE TRANSICIÓN PREDIAL'!D24</f>
        <v>5</v>
      </c>
    </row>
  </sheetData>
  <mergeCells count="2">
    <mergeCell ref="A1:B1"/>
    <mergeCell ref="A2:B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8A463C70CDF94EBCEAEE24D04F3F8A" ma:contentTypeVersion="12" ma:contentTypeDescription="Crear nuevo documento." ma:contentTypeScope="" ma:versionID="1e64a49c346abf4bbb09fc69347de49c">
  <xsd:schema xmlns:xsd="http://www.w3.org/2001/XMLSchema" xmlns:xs="http://www.w3.org/2001/XMLSchema" xmlns:p="http://schemas.microsoft.com/office/2006/metadata/properties" xmlns:ns2="d174a4fb-80c2-4523-8d89-375030acacbf" xmlns:ns3="b250f519-6473-4480-8c44-6ee3a3a530c3" targetNamespace="http://schemas.microsoft.com/office/2006/metadata/properties" ma:root="true" ma:fieldsID="8ae85b081a60446340f1312666800f88" ns2:_="" ns3:_="">
    <xsd:import namespace="d174a4fb-80c2-4523-8d89-375030acacbf"/>
    <xsd:import namespace="b250f519-6473-4480-8c44-6ee3a3a53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4a4fb-80c2-4523-8d89-375030aca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50f519-6473-4480-8c44-6ee3a3a530c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99aca81-e582-4351-8e44-cebe80f68b03}" ma:internalName="TaxCatchAll" ma:showField="CatchAllData" ma:web="b250f519-6473-4480-8c44-6ee3a3a53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50f519-6473-4480-8c44-6ee3a3a530c3" xsi:nil="true"/>
    <lcf76f155ced4ddcb4097134ff3c332f xmlns="d174a4fb-80c2-4523-8d89-375030acac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D28A6E-F25B-441F-B034-25D6C3DD3234}"/>
</file>

<file path=customXml/itemProps2.xml><?xml version="1.0" encoding="utf-8"?>
<ds:datastoreItem xmlns:ds="http://schemas.openxmlformats.org/officeDocument/2006/customXml" ds:itemID="{587054E5-9BF5-4CAB-91E5-BAF914D2C0E6}"/>
</file>

<file path=customXml/itemProps3.xml><?xml version="1.0" encoding="utf-8"?>
<ds:datastoreItem xmlns:ds="http://schemas.openxmlformats.org/officeDocument/2006/customXml" ds:itemID="{164D5479-885D-4831-8F5E-7BEF86DD20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ESTADO DE TRANSICIÓN PREDIAL</vt:lpstr>
      <vt:lpstr>GRÁFICO RADIAL</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Gomez</dc:creator>
  <cp:lastModifiedBy>Jenny Gomez</cp:lastModifiedBy>
  <dcterms:created xsi:type="dcterms:W3CDTF">2023-10-06T21:15:46Z</dcterms:created>
  <dcterms:modified xsi:type="dcterms:W3CDTF">2025-03-18T19:02:35Z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0x010100EA8A463C70CDF94EBCEAEE24D04F3F8A</vt:lpwstr>
  </property>
</Properties>
</file>